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arn\ReactJS\devextreme-starter\"/>
    </mc:Choice>
  </mc:AlternateContent>
  <bookViews>
    <workbookView xWindow="0" yWindow="0" windowWidth="19200" windowHeight="7640" activeTab="1"/>
  </bookViews>
  <sheets>
    <sheet name="Header" sheetId="1" r:id="rId1"/>
    <sheet name="Detail" sheetId="2" r:id="rId2"/>
    <sheet name="Referensi" sheetId="3" r:id="rId3"/>
  </sheets>
  <definedNames>
    <definedName name="Barang_OK01___Cilandak_Town_Square">Referensi!$C$1:$C$4</definedName>
    <definedName name="Barang_OK02___Pasar_Baru">Referensi!$C$17:$C$20</definedName>
    <definedName name="Barang_OK03___Kelapa_Gading">Referensi!$C$9:$C$11</definedName>
    <definedName name="Barang_OK04___Senopati">Referensi!$C$27:$C$29</definedName>
    <definedName name="Barang_OK05___Pondok_Indah">Referensi!$C$21:$C$23</definedName>
    <definedName name="Barang_OK07___Lebak_Bulus">Referensi!$C$14:$C$16</definedName>
    <definedName name="Barang_OK08___Ciputat">Referensi!$C$7:$C$8</definedName>
    <definedName name="Barang_OK09___Cipedak">Referensi!$C$5:$C$6</definedName>
    <definedName name="Barang_OK10___Kemang">Referensi!$C$12:$C$13</definedName>
    <definedName name="Barang_OK11___Rasuna_Said">Referensi!$C$24:$C$26</definedName>
    <definedName name="Diskon_OK01___Cilandak_Town_Square_MB01___Gulaku">Referensi!$E$2:$E$3</definedName>
    <definedName name="Diskon_OK01___Cilandak_Town_Square_MB02___Segitiga_Emas">Referensi!$E$4</definedName>
    <definedName name="Diskon_OK01___Cilandak_Town_Square_TST01___Barang_01">Referensi!$E$1</definedName>
    <definedName name="Diskon_OK01___Cilandak_Town_Square_TST02_upd___Test_lagi_upd">Referensi!$E$5:$E$6</definedName>
    <definedName name="Diskon_OK02___Pasar_Baru_MB01___Gulaku">Referensi!$E$26:$E$27</definedName>
    <definedName name="Diskon_OK02___Pasar_Baru_MB05___Harum_Manis">Referensi!$E$28:$E$29</definedName>
    <definedName name="Diskon_OK02___Pasar_Baru_TST01___Barang_01">Referensi!$E$25</definedName>
    <definedName name="Diskon_OK03___Kelapa_Gading_MB01___Gulaku">Referensi!$E$16:$E$17</definedName>
    <definedName name="Diskon_OK03___Kelapa_Gading_MB02___Segitiga_Emas">Referensi!$E$18</definedName>
    <definedName name="Diskon_OK03___Kelapa_Gading_TST01___Barang_01">Referensi!$E$15</definedName>
    <definedName name="Diskon_OK04___Senopati_MB01___Gulaku">Referensi!$E$39:$E$40</definedName>
    <definedName name="Diskon_OK04___Senopati_TST01___Barang_01">Referensi!$E$38</definedName>
    <definedName name="Diskon_OK04___Senopati_TST02_upd___Test_lagi_upd">Referensi!$E$41:$E$42</definedName>
    <definedName name="Diskon_OK05___Pondok_Indah_MB01___Gulaku">Referensi!$E$31:$E$32</definedName>
    <definedName name="Diskon_OK05___Pondok_Indah_TST01___Barang_01">Referensi!$E$30</definedName>
    <definedName name="Diskon_OK05___Pondok_Indah_TST02_upd___Test_lagi_upd">Referensi!$E$33:$E$34</definedName>
    <definedName name="Diskon_OK06___Tangerang_Selatan_MB01___Gulaku">Referensi!$E$44:$E$45</definedName>
    <definedName name="Diskon_OK06___Tangerang_Selatan_MB05___Harum_Manis">Referensi!$E$46:$E$47</definedName>
    <definedName name="Diskon_OK06___Tangerang_Selatan_TST01___Barang_01">Referensi!$E$43</definedName>
    <definedName name="Diskon_OK07___Lebak_Bulus_MB01___Gulaku">Referensi!$E$21:$E$22</definedName>
    <definedName name="Diskon_OK07___Lebak_Bulus_MB05___Harum_Manis">Referensi!$E$23:$E$24</definedName>
    <definedName name="Diskon_OK08___Ciputat_MB01___Gulaku">Referensi!$E$11:$E$12</definedName>
    <definedName name="Diskon_OK08___Ciputat_MB05___Harum_Manis">Referensi!$E$13:$E$14</definedName>
    <definedName name="Diskon_OK09___Cipedak_MB01___Gulaku">Referensi!$E$7:$E$8</definedName>
    <definedName name="Diskon_OK09___Cipedak_MB05___Harum_Manis">Referensi!$E$9:$E$10</definedName>
    <definedName name="Diskon_OK10___Kemang_MB01___Gulaku">Referensi!$E$19:$E$20</definedName>
    <definedName name="Diskon_OK11___Rasuna_Said_MB01___Gulaku">Referensi!$E$35:$E$36</definedName>
    <definedName name="Diskon_OK11___Rasuna_Said_MB02___Segitiga_Emas">Referensi!$E$37</definedName>
    <definedName name="Sales_OK01___Cilandak_Town_Square">Referensi!$B$1:$B$3</definedName>
    <definedName name="Sales_OK02___Pasar_Baru">Referensi!$B$13:$B$14</definedName>
    <definedName name="Sales_OK03___Kelapa_Gading">Referensi!$B$6:$B$10</definedName>
    <definedName name="Sales_OK04___Senopati">Referensi!$B$20</definedName>
    <definedName name="Sales_OK05___Pondok_Indah">Referensi!$B$15:$B$19</definedName>
    <definedName name="Sales_OK07___Lebak_Bulus">Referensi!$B$12</definedName>
    <definedName name="Sales_OK08___Ciputat">Referensi!$B$5</definedName>
    <definedName name="Sales_OK09___Cipedak">Referensi!$B$4</definedName>
    <definedName name="Sales_OK10___Kemang">Referensi!$B$11</definedName>
  </definedNames>
  <calcPr calcId="162913"/>
</workbook>
</file>

<file path=xl/calcChain.xml><?xml version="1.0" encoding="utf-8"?>
<calcChain xmlns="http://schemas.openxmlformats.org/spreadsheetml/2006/main">
  <c r="D30" i="2" l="1"/>
  <c r="B30" i="2"/>
  <c r="D29" i="2"/>
  <c r="B29" i="2"/>
  <c r="D28" i="2"/>
  <c r="B28" i="2"/>
  <c r="D27" i="2"/>
  <c r="B27" i="2"/>
  <c r="D26" i="2"/>
  <c r="B26" i="2"/>
  <c r="D25" i="2"/>
  <c r="B25" i="2"/>
  <c r="D24" i="2"/>
  <c r="B24" i="2"/>
  <c r="D23" i="2"/>
  <c r="B23" i="2"/>
  <c r="D22" i="2"/>
  <c r="B22" i="2"/>
  <c r="D21" i="2"/>
  <c r="B21" i="2"/>
  <c r="D20" i="2"/>
  <c r="B20" i="2"/>
  <c r="D19" i="2"/>
  <c r="B19" i="2"/>
  <c r="D18" i="2"/>
  <c r="B18" i="2"/>
  <c r="D17" i="2"/>
  <c r="B17" i="2"/>
  <c r="D16" i="2"/>
  <c r="B16" i="2"/>
  <c r="D15" i="2"/>
  <c r="B15" i="2"/>
  <c r="D14" i="2"/>
  <c r="B14" i="2"/>
  <c r="D13" i="2"/>
  <c r="B13" i="2"/>
  <c r="D12" i="2"/>
  <c r="B12" i="2"/>
  <c r="D11" i="2"/>
  <c r="B11" i="2"/>
  <c r="D10" i="2"/>
  <c r="B10" i="2"/>
  <c r="D9" i="2"/>
  <c r="B9" i="2"/>
  <c r="D8" i="2"/>
  <c r="B8" i="2"/>
  <c r="D7" i="2"/>
  <c r="B7" i="2"/>
  <c r="D6" i="2"/>
  <c r="B6" i="2"/>
  <c r="D5" i="2"/>
  <c r="B5" i="2"/>
  <c r="D4" i="2"/>
  <c r="B4" i="2"/>
  <c r="D3" i="2"/>
  <c r="B3" i="2"/>
  <c r="D2" i="2"/>
  <c r="B2" i="2"/>
</calcChain>
</file>

<file path=xl/sharedStrings.xml><?xml version="1.0" encoding="utf-8"?>
<sst xmlns="http://schemas.openxmlformats.org/spreadsheetml/2006/main" count="139" uniqueCount="61">
  <si>
    <t>Kode Penjualan</t>
  </si>
  <si>
    <t>Tanggal Penjualan</t>
  </si>
  <si>
    <t>Outlet</t>
  </si>
  <si>
    <t>Sales</t>
  </si>
  <si>
    <t>PJ-099</t>
  </si>
  <si>
    <t>OK01 - Cilandak Town Square</t>
  </si>
  <si>
    <t>S05 - Fitri Hanif</t>
  </si>
  <si>
    <t>&lt;--- Contoh pengisian data</t>
  </si>
  <si>
    <t>Barang</t>
  </si>
  <si>
    <t>Harga</t>
  </si>
  <si>
    <t>Qty</t>
  </si>
  <si>
    <t>Diskon</t>
  </si>
  <si>
    <t>MB01 - Gulaku</t>
  </si>
  <si>
    <t>20 @ 15000,00</t>
  </si>
  <si>
    <t>TST01 - Barang 01</t>
  </si>
  <si>
    <t>4 @ 60000,00</t>
  </si>
  <si>
    <t>OK09 - Cipedak</t>
  </si>
  <si>
    <t>S02 - Ilham Fachry</t>
  </si>
  <si>
    <t>8 @ 4000,00</t>
  </si>
  <si>
    <t>OK08 - Ciputat</t>
  </si>
  <si>
    <t>S87 - Test upl benar 1</t>
  </si>
  <si>
    <t>MB02 - Segitiga Emas</t>
  </si>
  <si>
    <t>OK03 - Kelapa Gading</t>
  </si>
  <si>
    <t>S06 - Pratiwi</t>
  </si>
  <si>
    <t>TST02 upd - Test lagi upd</t>
  </si>
  <si>
    <t>10 @ 10000,00</t>
  </si>
  <si>
    <t>OK10 - Kemang</t>
  </si>
  <si>
    <t>S14 - Test</t>
  </si>
  <si>
    <t>20 @ 16000,00</t>
  </si>
  <si>
    <t>OK07 - Lebak Bulus</t>
  </si>
  <si>
    <t>UPL01 - Test Upload 01</t>
  </si>
  <si>
    <t>MB05 - Harum Manis</t>
  </si>
  <si>
    <t>40 @ 32000,00</t>
  </si>
  <si>
    <t>OK02 - Pasar Baru</t>
  </si>
  <si>
    <t>UPL02 - Test Upload 02</t>
  </si>
  <si>
    <t>OK05 - Pondok Indah</t>
  </si>
  <si>
    <t>UPL03 - Test Upload 03</t>
  </si>
  <si>
    <t>OK04 - Senopati</t>
  </si>
  <si>
    <t>S13 - Toni</t>
  </si>
  <si>
    <t>12 @ 30000,00</t>
  </si>
  <si>
    <t>OK06 - Tangerang Selatan</t>
  </si>
  <si>
    <t>S12 - Tono</t>
  </si>
  <si>
    <t>24 @ 70000,00</t>
  </si>
  <si>
    <t>S08 - Fajar Julianto</t>
  </si>
  <si>
    <t>S07 - Gunawan</t>
  </si>
  <si>
    <t>S01 - Ridwan</t>
  </si>
  <si>
    <t>MB04 - Snowman (Permanent)</t>
  </si>
  <si>
    <t>S09 - Victor Von Doom</t>
  </si>
  <si>
    <t>S03 - Doni Wahid</t>
  </si>
  <si>
    <t>S11 - Indra Bekti</t>
  </si>
  <si>
    <t>UPL04 - Test Upload 04</t>
  </si>
  <si>
    <t>UPL05 - Test Upload 05</t>
  </si>
  <si>
    <t>UPL06 - Test Upload 06</t>
  </si>
  <si>
    <t>S04 - Joko Irwandi</t>
  </si>
  <si>
    <t>UPL07 - Test Upload 07</t>
  </si>
  <si>
    <t>UPL08 - Test Upload 08</t>
  </si>
  <si>
    <t>UPL09 - Test Upload 09</t>
  </si>
  <si>
    <t>UPL10 - Test Upload 10</t>
  </si>
  <si>
    <t>MB03 - Rojolele</t>
  </si>
  <si>
    <t>5 @ 30000,00</t>
  </si>
  <si>
    <t>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</si>
</sst>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5" fontId="0" fillId="0" borderId="0" xfId="0" applyNumberFormat="1"/>
    <xf numFmtId="15" fontId="1" fillId="2" borderId="0" xfId="0" applyNumberFormat="1" applyFont="1" applyFill="1"/>
    <xf numFmtId="0" fontId="0" fillId="0" borderId="0" xfId="0"/>
    <xf numFmtId="3" fontId="0" fillId="0" borderId="0" xfId="0" applyNumberFormat="1"/>
    <xf numFmtId="3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D3" sqref="D3"/>
    </sheetView>
  </sheetViews>
  <sheetFormatPr defaultRowHeight="14"/>
  <cols>
    <col min="1" max="1" width="16.1640625" customWidth="1"/>
    <col min="2" max="2" width="18.9140625" style="2" customWidth="1"/>
    <col min="3" max="3" width="29.08203125" customWidth="1"/>
    <col min="4" max="4" width="30" customWidth="1"/>
  </cols>
  <sheetData>
    <row r="1" spans="1:5">
      <c r="A1" s="1" t="s">
        <v>0</v>
      </c>
      <c r="B1" s="3" t="s">
        <v>1</v>
      </c>
      <c r="C1" s="1" t="s">
        <v>2</v>
      </c>
      <c r="D1" s="1" t="s">
        <v>3</v>
      </c>
    </row>
    <row r="2" spans="1:5">
      <c r="A2" t="s">
        <v>4</v>
      </c>
      <c r="B2" s="2">
        <v>45896</v>
      </c>
      <c r="C2" s="4" t="s">
        <v>37</v>
      </c>
      <c r="D2" t="s">
        <v>53</v>
      </c>
      <c r="E2" t="s">
        <v>7</v>
      </c>
    </row>
    <row r="3" spans="1:5">
      <c r="A3" t="s">
        <v>60</v>
      </c>
      <c r="B3" s="2">
        <v>45901</v>
      </c>
      <c r="C3" t="s">
        <v>22</v>
      </c>
      <c r="D3" t="s">
        <v>38</v>
      </c>
    </row>
  </sheetData>
  <dataValidations count="1">
    <dataValidation type="list" showErrorMessage="1" errorTitle="Sales tidak valid" error="Silakan pilih sales dari dropdown list." sqref="D2:D10">
      <formula1>INDIRECT("Sales_" &amp; SUBSTITUTE(SUBSTITUTE(C2,"-","_")," 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Outlet tidak valid" error="Silakan pilih outlet dari dropdown list.">
          <x14:formula1>
            <xm:f>Referensi!$A$1:$A$10</xm:f>
          </x14:formula1>
          <xm:sqref>C2:C10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D3" sqref="D3"/>
    </sheetView>
  </sheetViews>
  <sheetFormatPr defaultRowHeight="14"/>
  <cols>
    <col min="1" max="1" width="16.1640625" customWidth="1"/>
    <col min="2" max="3" width="30" customWidth="1"/>
    <col min="4" max="4" width="10" style="5" customWidth="1"/>
    <col min="5" max="5" width="9.1640625" customWidth="1"/>
    <col min="6" max="6" width="16.5" customWidth="1"/>
    <col min="7" max="7" width="26.5" customWidth="1"/>
  </cols>
  <sheetData>
    <row r="1" spans="1:7">
      <c r="A1" s="1" t="s">
        <v>0</v>
      </c>
      <c r="B1" s="1" t="s">
        <v>2</v>
      </c>
      <c r="C1" s="1" t="s">
        <v>8</v>
      </c>
      <c r="D1" s="6" t="s">
        <v>9</v>
      </c>
      <c r="E1" s="1" t="s">
        <v>10</v>
      </c>
      <c r="F1" s="1" t="s">
        <v>11</v>
      </c>
    </row>
    <row r="2" spans="1:7">
      <c r="A2" t="s">
        <v>4</v>
      </c>
      <c r="B2" s="4" t="str">
        <f>IF(A2&lt;&gt;"",VLOOKUP(A2, Header!$A$2:$C$11, 3, 0),"")</f>
        <v>OK04 - Senopati</v>
      </c>
      <c r="C2" t="s">
        <v>12</v>
      </c>
      <c r="D2" s="5">
        <f>IF(C2&lt;&gt;"",VLOOKUP(C2, Referensi!$C$2:$D$33, 2, 0),"")</f>
        <v>17000</v>
      </c>
      <c r="E2">
        <v>40</v>
      </c>
      <c r="F2" t="s">
        <v>13</v>
      </c>
      <c r="G2" t="s">
        <v>7</v>
      </c>
    </row>
    <row r="3" spans="1:7">
      <c r="A3" t="s">
        <v>60</v>
      </c>
      <c r="B3" s="4" t="str">
        <f>IF(A3&lt;&gt;"",VLOOKUP(A3, Header!$A$2:$C$11, 3, 0),"")</f>
        <v>OK03 - Kelapa Gading</v>
      </c>
      <c r="C3" t="s">
        <v>21</v>
      </c>
      <c r="D3" s="5">
        <f>IF(C3&lt;&gt;"",VLOOKUP(C3, Referensi!$C$2:$D$33, 2, 0),"")</f>
        <v>7000</v>
      </c>
      <c r="E3">
        <v>50</v>
      </c>
      <c r="F3" t="s">
        <v>25</v>
      </c>
    </row>
    <row r="4" spans="1:7">
      <c r="B4" s="4" t="str">
        <f>IF(A4&lt;&gt;"",VLOOKUP(A4, Header!$A$2:$C$11, 3, 0),"")</f>
        <v/>
      </c>
      <c r="D4" s="5" t="str">
        <f>IF(C4&lt;&gt;"",VLOOKUP(C4, Referensi!$C$2:$D$33, 2, 0),"")</f>
        <v/>
      </c>
    </row>
    <row r="5" spans="1:7">
      <c r="B5" s="4" t="str">
        <f>IF(A5&lt;&gt;"",VLOOKUP(A5, Header!$A$2:$C$11, 3, 0),"")</f>
        <v/>
      </c>
      <c r="D5" s="5" t="str">
        <f>IF(C5&lt;&gt;"",VLOOKUP(C5, Referensi!$C$2:$D$33, 2, 0),"")</f>
        <v/>
      </c>
    </row>
    <row r="6" spans="1:7">
      <c r="B6" s="4" t="str">
        <f>IF(A6&lt;&gt;"",VLOOKUP(A6, Header!$A$2:$C$11, 3, 0),"")</f>
        <v/>
      </c>
      <c r="D6" s="5" t="str">
        <f>IF(C6&lt;&gt;"",VLOOKUP(C6, Referensi!$C$2:$D$33, 2, 0),"")</f>
        <v/>
      </c>
    </row>
    <row r="7" spans="1:7">
      <c r="B7" s="4" t="str">
        <f>IF(A7&lt;&gt;"",VLOOKUP(A7, Header!$A$2:$C$11, 3, 0),"")</f>
        <v/>
      </c>
      <c r="D7" s="5" t="str">
        <f>IF(C7&lt;&gt;"",VLOOKUP(C7, Referensi!$C$2:$D$33, 2, 0),"")</f>
        <v/>
      </c>
    </row>
    <row r="8" spans="1:7">
      <c r="B8" s="4" t="str">
        <f>IF(A8&lt;&gt;"",VLOOKUP(A8, Header!$A$2:$C$11, 3, 0),"")</f>
        <v/>
      </c>
      <c r="D8" s="5" t="str">
        <f>IF(C8&lt;&gt;"",VLOOKUP(C8, Referensi!$C$2:$D$33, 2, 0),"")</f>
        <v/>
      </c>
    </row>
    <row r="9" spans="1:7">
      <c r="B9" s="4" t="str">
        <f>IF(A9&lt;&gt;"",VLOOKUP(A9, Header!$A$2:$C$11, 3, 0),"")</f>
        <v/>
      </c>
      <c r="D9" s="5" t="str">
        <f>IF(C9&lt;&gt;"",VLOOKUP(C9, Referensi!$C$2:$D$33, 2, 0),"")</f>
        <v/>
      </c>
    </row>
    <row r="10" spans="1:7">
      <c r="B10" s="4" t="str">
        <f>IF(A10&lt;&gt;"",VLOOKUP(A10, Header!$A$2:$C$11, 3, 0),"")</f>
        <v/>
      </c>
      <c r="D10" s="5" t="str">
        <f>IF(C10&lt;&gt;"",VLOOKUP(C10, Referensi!$C$2:$D$33, 2, 0),"")</f>
        <v/>
      </c>
    </row>
    <row r="11" spans="1:7">
      <c r="B11" s="4" t="str">
        <f>IF(A11&lt;&gt;"",VLOOKUP(A11, Header!$A$2:$C$11, 3, 0),"")</f>
        <v/>
      </c>
      <c r="D11" s="5" t="str">
        <f>IF(C11&lt;&gt;"",VLOOKUP(C11, Referensi!$C$2:$D$33, 2, 0),"")</f>
        <v/>
      </c>
    </row>
    <row r="12" spans="1:7">
      <c r="B12" s="4" t="str">
        <f>IF(A12&lt;&gt;"",VLOOKUP(A12, Header!$A$2:$C$11, 3, 0),"")</f>
        <v/>
      </c>
      <c r="D12" s="5" t="str">
        <f>IF(C12&lt;&gt;"",VLOOKUP(C12, Referensi!$C$2:$D$33, 2, 0),"")</f>
        <v/>
      </c>
    </row>
    <row r="13" spans="1:7">
      <c r="B13" s="4" t="str">
        <f>IF(A13&lt;&gt;"",VLOOKUP(A13, Header!$A$2:$C$11, 3, 0),"")</f>
        <v/>
      </c>
      <c r="D13" s="5" t="str">
        <f>IF(C13&lt;&gt;"",VLOOKUP(C13, Referensi!$C$2:$D$33, 2, 0),"")</f>
        <v/>
      </c>
    </row>
    <row r="14" spans="1:7">
      <c r="B14" s="4" t="str">
        <f>IF(A14&lt;&gt;"",VLOOKUP(A14, Header!$A$2:$C$11, 3, 0),"")</f>
        <v/>
      </c>
      <c r="D14" s="5" t="str">
        <f>IF(C14&lt;&gt;"",VLOOKUP(C14, Referensi!$C$2:$D$33, 2, 0),"")</f>
        <v/>
      </c>
    </row>
    <row r="15" spans="1:7">
      <c r="B15" s="4" t="str">
        <f>IF(A15&lt;&gt;"",VLOOKUP(A15, Header!$A$2:$C$11, 3, 0),"")</f>
        <v/>
      </c>
      <c r="D15" s="5" t="str">
        <f>IF(C15&lt;&gt;"",VLOOKUP(C15, Referensi!$C$2:$D$33, 2, 0),"")</f>
        <v/>
      </c>
    </row>
    <row r="16" spans="1:7">
      <c r="B16" s="4" t="str">
        <f>IF(A16&lt;&gt;"",VLOOKUP(A16, Header!$A$2:$C$11, 3, 0),"")</f>
        <v/>
      </c>
      <c r="D16" s="5" t="str">
        <f>IF(C16&lt;&gt;"",VLOOKUP(C16, Referensi!$C$2:$D$33, 2, 0),"")</f>
        <v/>
      </c>
    </row>
    <row r="17" spans="2:4">
      <c r="B17" s="4" t="str">
        <f>IF(A17&lt;&gt;"",VLOOKUP(A17, Header!$A$2:$C$11, 3, 0),"")</f>
        <v/>
      </c>
      <c r="D17" s="5" t="str">
        <f>IF(C17&lt;&gt;"",VLOOKUP(C17, Referensi!$C$2:$D$33, 2, 0),"")</f>
        <v/>
      </c>
    </row>
    <row r="18" spans="2:4">
      <c r="B18" s="4" t="str">
        <f>IF(A18&lt;&gt;"",VLOOKUP(A18, Header!$A$2:$C$11, 3, 0),"")</f>
        <v/>
      </c>
      <c r="D18" s="5" t="str">
        <f>IF(C18&lt;&gt;"",VLOOKUP(C18, Referensi!$C$2:$D$33, 2, 0),"")</f>
        <v/>
      </c>
    </row>
    <row r="19" spans="2:4">
      <c r="B19" s="4" t="str">
        <f>IF(A19&lt;&gt;"",VLOOKUP(A19, Header!$A$2:$C$11, 3, 0),"")</f>
        <v/>
      </c>
      <c r="D19" s="5" t="str">
        <f>IF(C19&lt;&gt;"",VLOOKUP(C19, Referensi!$C$2:$D$33, 2, 0),"")</f>
        <v/>
      </c>
    </row>
    <row r="20" spans="2:4">
      <c r="B20" s="4" t="str">
        <f>IF(A20&lt;&gt;"",VLOOKUP(A20, Header!$A$2:$C$11, 3, 0),"")</f>
        <v/>
      </c>
      <c r="D20" s="5" t="str">
        <f>IF(C20&lt;&gt;"",VLOOKUP(C20, Referensi!$C$2:$D$33, 2, 0),"")</f>
        <v/>
      </c>
    </row>
    <row r="21" spans="2:4">
      <c r="B21" s="4" t="str">
        <f>IF(A21&lt;&gt;"",VLOOKUP(A21, Header!$A$2:$C$11, 3, 0),"")</f>
        <v/>
      </c>
      <c r="D21" s="5" t="str">
        <f>IF(C21&lt;&gt;"",VLOOKUP(C21, Referensi!$C$2:$D$33, 2, 0),"")</f>
        <v/>
      </c>
    </row>
    <row r="22" spans="2:4">
      <c r="B22" s="4" t="str">
        <f>IF(A22&lt;&gt;"",VLOOKUP(A22, Header!$A$2:$C$11, 3, 0),"")</f>
        <v/>
      </c>
      <c r="D22" s="5" t="str">
        <f>IF(C22&lt;&gt;"",VLOOKUP(C22, Referensi!$C$2:$D$33, 2, 0),"")</f>
        <v/>
      </c>
    </row>
    <row r="23" spans="2:4">
      <c r="B23" s="4" t="str">
        <f>IF(A23&lt;&gt;"",VLOOKUP(A23, Header!$A$2:$C$11, 3, 0),"")</f>
        <v/>
      </c>
      <c r="D23" s="5" t="str">
        <f>IF(C23&lt;&gt;"",VLOOKUP(C23, Referensi!$C$2:$D$33, 2, 0),"")</f>
        <v/>
      </c>
    </row>
    <row r="24" spans="2:4">
      <c r="B24" s="4" t="str">
        <f>IF(A24&lt;&gt;"",VLOOKUP(A24, Header!$A$2:$C$11, 3, 0),"")</f>
        <v/>
      </c>
      <c r="D24" s="5" t="str">
        <f>IF(C24&lt;&gt;"",VLOOKUP(C24, Referensi!$C$2:$D$33, 2, 0),"")</f>
        <v/>
      </c>
    </row>
    <row r="25" spans="2:4">
      <c r="B25" s="4" t="str">
        <f>IF(A25&lt;&gt;"",VLOOKUP(A25, Header!$A$2:$C$11, 3, 0),"")</f>
        <v/>
      </c>
      <c r="D25" s="5" t="str">
        <f>IF(C25&lt;&gt;"",VLOOKUP(C25, Referensi!$C$2:$D$33, 2, 0),"")</f>
        <v/>
      </c>
    </row>
    <row r="26" spans="2:4">
      <c r="B26" s="4" t="str">
        <f>IF(A26&lt;&gt;"",VLOOKUP(A26, Header!$A$2:$C$11, 3, 0),"")</f>
        <v/>
      </c>
      <c r="D26" s="5" t="str">
        <f>IF(C26&lt;&gt;"",VLOOKUP(C26, Referensi!$C$2:$D$33, 2, 0),"")</f>
        <v/>
      </c>
    </row>
    <row r="27" spans="2:4">
      <c r="B27" s="4" t="str">
        <f>IF(A27&lt;&gt;"",VLOOKUP(A27, Header!$A$2:$C$11, 3, 0),"")</f>
        <v/>
      </c>
      <c r="D27" s="5" t="str">
        <f>IF(C27&lt;&gt;"",VLOOKUP(C27, Referensi!$C$2:$D$33, 2, 0),"")</f>
        <v/>
      </c>
    </row>
    <row r="28" spans="2:4">
      <c r="B28" s="4" t="str">
        <f>IF(A28&lt;&gt;"",VLOOKUP(A28, Header!$A$2:$C$11, 3, 0),"")</f>
        <v/>
      </c>
      <c r="D28" s="5" t="str">
        <f>IF(C28&lt;&gt;"",VLOOKUP(C28, Referensi!$C$2:$D$33, 2, 0),"")</f>
        <v/>
      </c>
    </row>
    <row r="29" spans="2:4">
      <c r="B29" s="4" t="str">
        <f>IF(A29&lt;&gt;"",VLOOKUP(A29, Header!$A$2:$C$11, 3, 0),"")</f>
        <v/>
      </c>
      <c r="D29" s="5" t="str">
        <f>IF(C29&lt;&gt;"",VLOOKUP(C29, Referensi!$C$2:$D$33, 2, 0),"")</f>
        <v/>
      </c>
    </row>
    <row r="30" spans="2:4">
      <c r="B30" s="4" t="str">
        <f>IF(A30&lt;&gt;"",VLOOKUP(A30, Header!$A$2:$C$11, 3, 0),"")</f>
        <v/>
      </c>
      <c r="D30" s="5" t="str">
        <f>IF(C30&lt;&gt;"",VLOOKUP(C30, Referensi!$C$2:$D$33, 2, 0),"")</f>
        <v/>
      </c>
    </row>
  </sheetData>
  <dataValidations count="2">
    <dataValidation type="list" showErrorMessage="1" errorTitle="Sales tidak valid" error="Silakan pilih sales dari dropdown list." sqref="C2:C30">
      <formula1>INDIRECT("Barang_" &amp; SUBSTITUTE(SUBSTITUTE(B2,"-","_")," ","_"))</formula1>
    </dataValidation>
    <dataValidation type="list" showErrorMessage="1" errorTitle="Sales tidak valid" error="Silakan pilih sales dari dropdown list." sqref="F2:F30">
      <formula1>INDIRECT("Diskon_" &amp; SUBSTITUTE(SUBSTITUTE(B2&amp;"_"&amp;C2,"-","_")," ","_"))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/>
  </sheetViews>
  <sheetFormatPr defaultRowHeight="14"/>
  <cols>
    <col min="1" max="1" width="29.08203125" customWidth="1"/>
    <col min="2" max="2" width="23.6640625" customWidth="1"/>
    <col min="3" max="3" width="29.75" customWidth="1"/>
    <col min="4" max="4" width="9.1640625" customWidth="1"/>
    <col min="5" max="5" width="16.5" customWidth="1"/>
  </cols>
  <sheetData>
    <row r="1" spans="1:5">
      <c r="A1" t="s">
        <v>5</v>
      </c>
      <c r="B1" t="s">
        <v>6</v>
      </c>
      <c r="C1" t="s">
        <v>14</v>
      </c>
      <c r="D1">
        <v>35000</v>
      </c>
      <c r="E1" t="s">
        <v>15</v>
      </c>
    </row>
    <row r="2" spans="1:5">
      <c r="A2" t="s">
        <v>16</v>
      </c>
      <c r="B2" t="s">
        <v>17</v>
      </c>
      <c r="C2" t="s">
        <v>12</v>
      </c>
      <c r="D2">
        <v>17000</v>
      </c>
      <c r="E2" t="s">
        <v>18</v>
      </c>
    </row>
    <row r="3" spans="1:5">
      <c r="A3" t="s">
        <v>19</v>
      </c>
      <c r="B3" t="s">
        <v>20</v>
      </c>
      <c r="C3" t="s">
        <v>21</v>
      </c>
      <c r="D3">
        <v>7000</v>
      </c>
      <c r="E3" t="s">
        <v>13</v>
      </c>
    </row>
    <row r="4" spans="1:5">
      <c r="A4" t="s">
        <v>22</v>
      </c>
      <c r="B4" t="s">
        <v>23</v>
      </c>
      <c r="C4" t="s">
        <v>24</v>
      </c>
      <c r="D4">
        <v>8000</v>
      </c>
      <c r="E4" t="s">
        <v>25</v>
      </c>
    </row>
    <row r="5" spans="1:5">
      <c r="A5" t="s">
        <v>26</v>
      </c>
      <c r="B5" t="s">
        <v>27</v>
      </c>
      <c r="C5" t="s">
        <v>12</v>
      </c>
      <c r="D5">
        <v>17000</v>
      </c>
      <c r="E5" t="s">
        <v>28</v>
      </c>
    </row>
    <row r="6" spans="1:5">
      <c r="A6" t="s">
        <v>29</v>
      </c>
      <c r="B6" t="s">
        <v>30</v>
      </c>
      <c r="C6" t="s">
        <v>31</v>
      </c>
      <c r="D6">
        <v>40000</v>
      </c>
      <c r="E6" t="s">
        <v>32</v>
      </c>
    </row>
    <row r="7" spans="1:5">
      <c r="A7" t="s">
        <v>33</v>
      </c>
      <c r="B7" t="s">
        <v>34</v>
      </c>
      <c r="C7" t="s">
        <v>12</v>
      </c>
      <c r="D7">
        <v>17000</v>
      </c>
      <c r="E7" t="s">
        <v>18</v>
      </c>
    </row>
    <row r="8" spans="1:5">
      <c r="A8" t="s">
        <v>35</v>
      </c>
      <c r="B8" t="s">
        <v>36</v>
      </c>
      <c r="C8" t="s">
        <v>31</v>
      </c>
      <c r="D8">
        <v>40000</v>
      </c>
      <c r="E8" t="s">
        <v>13</v>
      </c>
    </row>
    <row r="9" spans="1:5">
      <c r="A9" t="s">
        <v>37</v>
      </c>
      <c r="B9" t="s">
        <v>38</v>
      </c>
      <c r="C9" t="s">
        <v>14</v>
      </c>
      <c r="D9">
        <v>35000</v>
      </c>
      <c r="E9" t="s">
        <v>39</v>
      </c>
    </row>
    <row r="10" spans="1:5">
      <c r="A10" t="s">
        <v>40</v>
      </c>
      <c r="B10" t="s">
        <v>41</v>
      </c>
      <c r="C10" t="s">
        <v>12</v>
      </c>
      <c r="D10">
        <v>17000</v>
      </c>
      <c r="E10" t="s">
        <v>42</v>
      </c>
    </row>
    <row r="11" spans="1:5">
      <c r="B11" t="s">
        <v>43</v>
      </c>
      <c r="C11" t="s">
        <v>21</v>
      </c>
      <c r="D11">
        <v>7000</v>
      </c>
      <c r="E11" t="s">
        <v>18</v>
      </c>
    </row>
    <row r="12" spans="1:5">
      <c r="B12" t="s">
        <v>44</v>
      </c>
      <c r="C12" t="s">
        <v>12</v>
      </c>
      <c r="D12">
        <v>17000</v>
      </c>
      <c r="E12" t="s">
        <v>13</v>
      </c>
    </row>
    <row r="13" spans="1:5">
      <c r="B13" t="s">
        <v>45</v>
      </c>
      <c r="C13" t="s">
        <v>46</v>
      </c>
      <c r="D13">
        <v>13000</v>
      </c>
      <c r="E13" t="s">
        <v>39</v>
      </c>
    </row>
    <row r="14" spans="1:5">
      <c r="B14" t="s">
        <v>47</v>
      </c>
      <c r="C14" t="s">
        <v>12</v>
      </c>
      <c r="D14">
        <v>17000</v>
      </c>
      <c r="E14" t="s">
        <v>42</v>
      </c>
    </row>
    <row r="15" spans="1:5">
      <c r="B15" t="s">
        <v>48</v>
      </c>
      <c r="C15" t="s">
        <v>31</v>
      </c>
      <c r="D15">
        <v>40000</v>
      </c>
      <c r="E15" t="s">
        <v>15</v>
      </c>
    </row>
    <row r="16" spans="1:5">
      <c r="B16" t="s">
        <v>49</v>
      </c>
      <c r="C16" t="s">
        <v>46</v>
      </c>
      <c r="D16">
        <v>13000</v>
      </c>
      <c r="E16" t="s">
        <v>18</v>
      </c>
    </row>
    <row r="17" spans="2:5">
      <c r="B17" t="s">
        <v>50</v>
      </c>
      <c r="C17" t="s">
        <v>14</v>
      </c>
      <c r="D17">
        <v>35000</v>
      </c>
      <c r="E17" t="s">
        <v>13</v>
      </c>
    </row>
    <row r="18" spans="2:5">
      <c r="B18" t="s">
        <v>51</v>
      </c>
      <c r="C18" t="s">
        <v>12</v>
      </c>
      <c r="D18">
        <v>17000</v>
      </c>
      <c r="E18" t="s">
        <v>25</v>
      </c>
    </row>
    <row r="19" spans="2:5">
      <c r="B19" t="s">
        <v>52</v>
      </c>
      <c r="C19" t="s">
        <v>31</v>
      </c>
      <c r="D19">
        <v>40000</v>
      </c>
      <c r="E19" t="s">
        <v>18</v>
      </c>
    </row>
    <row r="20" spans="2:5">
      <c r="B20" t="s">
        <v>53</v>
      </c>
      <c r="C20" t="s">
        <v>46</v>
      </c>
      <c r="D20">
        <v>13000</v>
      </c>
      <c r="E20" t="s">
        <v>13</v>
      </c>
    </row>
    <row r="21" spans="2:5">
      <c r="B21" t="s">
        <v>54</v>
      </c>
      <c r="C21" t="s">
        <v>14</v>
      </c>
      <c r="D21">
        <v>35000</v>
      </c>
      <c r="E21" t="s">
        <v>18</v>
      </c>
    </row>
    <row r="22" spans="2:5">
      <c r="B22" t="s">
        <v>55</v>
      </c>
      <c r="C22" t="s">
        <v>12</v>
      </c>
      <c r="D22">
        <v>17000</v>
      </c>
      <c r="E22" t="s">
        <v>13</v>
      </c>
    </row>
    <row r="23" spans="2:5">
      <c r="B23" t="s">
        <v>56</v>
      </c>
      <c r="C23" t="s">
        <v>24</v>
      </c>
      <c r="D23">
        <v>8000</v>
      </c>
      <c r="E23" t="s">
        <v>39</v>
      </c>
    </row>
    <row r="24" spans="2:5">
      <c r="B24" t="s">
        <v>57</v>
      </c>
      <c r="C24" t="s">
        <v>12</v>
      </c>
      <c r="D24">
        <v>17000</v>
      </c>
      <c r="E24" t="s">
        <v>42</v>
      </c>
    </row>
    <row r="25" spans="2:5">
      <c r="C25" t="s">
        <v>21</v>
      </c>
      <c r="D25">
        <v>7000</v>
      </c>
      <c r="E25" t="s">
        <v>15</v>
      </c>
    </row>
    <row r="26" spans="2:5">
      <c r="C26" t="s">
        <v>46</v>
      </c>
      <c r="D26">
        <v>13000</v>
      </c>
      <c r="E26" t="s">
        <v>18</v>
      </c>
    </row>
    <row r="27" spans="2:5">
      <c r="C27" t="s">
        <v>14</v>
      </c>
      <c r="D27">
        <v>35000</v>
      </c>
      <c r="E27" t="s">
        <v>13</v>
      </c>
    </row>
    <row r="28" spans="2:5">
      <c r="C28" t="s">
        <v>12</v>
      </c>
      <c r="D28">
        <v>17000</v>
      </c>
      <c r="E28" t="s">
        <v>39</v>
      </c>
    </row>
    <row r="29" spans="2:5">
      <c r="C29" t="s">
        <v>24</v>
      </c>
      <c r="D29">
        <v>8000</v>
      </c>
      <c r="E29" t="s">
        <v>42</v>
      </c>
    </row>
    <row r="30" spans="2:5">
      <c r="C30" t="s">
        <v>14</v>
      </c>
      <c r="D30">
        <v>35000</v>
      </c>
      <c r="E30" t="s">
        <v>15</v>
      </c>
    </row>
    <row r="31" spans="2:5">
      <c r="C31" t="s">
        <v>12</v>
      </c>
      <c r="D31">
        <v>17000</v>
      </c>
      <c r="E31" t="s">
        <v>18</v>
      </c>
    </row>
    <row r="32" spans="2:5">
      <c r="C32" t="s">
        <v>31</v>
      </c>
      <c r="D32">
        <v>40000</v>
      </c>
      <c r="E32" t="s">
        <v>13</v>
      </c>
    </row>
    <row r="33" spans="3:5">
      <c r="C33" t="s">
        <v>58</v>
      </c>
      <c r="D33">
        <v>98000</v>
      </c>
      <c r="E33" t="s">
        <v>28</v>
      </c>
    </row>
    <row r="34" spans="3:5">
      <c r="E34" t="s">
        <v>32</v>
      </c>
    </row>
    <row r="35" spans="3:5">
      <c r="E35" t="s">
        <v>18</v>
      </c>
    </row>
    <row r="36" spans="3:5">
      <c r="E36" t="s">
        <v>13</v>
      </c>
    </row>
    <row r="37" spans="3:5">
      <c r="E37" t="s">
        <v>25</v>
      </c>
    </row>
    <row r="38" spans="3:5">
      <c r="E38" t="s">
        <v>15</v>
      </c>
    </row>
    <row r="39" spans="3:5">
      <c r="E39" t="s">
        <v>18</v>
      </c>
    </row>
    <row r="40" spans="3:5">
      <c r="E40" t="s">
        <v>13</v>
      </c>
    </row>
    <row r="41" spans="3:5">
      <c r="E41" t="s">
        <v>28</v>
      </c>
    </row>
    <row r="42" spans="3:5">
      <c r="E42" t="s">
        <v>32</v>
      </c>
    </row>
    <row r="43" spans="3:5">
      <c r="E43" t="s">
        <v>15</v>
      </c>
    </row>
    <row r="44" spans="3:5">
      <c r="E44" t="s">
        <v>18</v>
      </c>
    </row>
    <row r="45" spans="3:5">
      <c r="E45" t="s">
        <v>13</v>
      </c>
    </row>
    <row r="46" spans="3:5">
      <c r="E46" t="s">
        <v>39</v>
      </c>
    </row>
    <row r="47" spans="3:5">
      <c r="E47" t="s">
        <v>42</v>
      </c>
    </row>
    <row r="48" spans="3:5">
      <c r="E4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47</vt:i4>
      </vt:variant>
    </vt:vector>
  </HeadingPairs>
  <TitlesOfParts>
    <vt:vector size="50" baseType="lpstr">
      <vt:lpstr>Header</vt:lpstr>
      <vt:lpstr>Detail</vt:lpstr>
      <vt:lpstr>Referensi</vt:lpstr>
      <vt:lpstr>Barang_OK01___Cilandak_Town_Square</vt:lpstr>
      <vt:lpstr>Barang_OK02___Pasar_Baru</vt:lpstr>
      <vt:lpstr>Barang_OK03___Kelapa_Gading</vt:lpstr>
      <vt:lpstr>Barang_OK04___Senopati</vt:lpstr>
      <vt:lpstr>Barang_OK05___Pondok_Indah</vt:lpstr>
      <vt:lpstr>Barang_OK07___Lebak_Bulus</vt:lpstr>
      <vt:lpstr>Barang_OK08___Ciputat</vt:lpstr>
      <vt:lpstr>Barang_OK09___Cipedak</vt:lpstr>
      <vt:lpstr>Barang_OK10___Kemang</vt:lpstr>
      <vt:lpstr>Barang_OK11___Rasuna_Said</vt:lpstr>
      <vt:lpstr>Diskon_OK01___Cilandak_Town_Square_MB01___Gulaku</vt:lpstr>
      <vt:lpstr>Diskon_OK01___Cilandak_Town_Square_MB02___Segitiga_Emas</vt:lpstr>
      <vt:lpstr>Diskon_OK01___Cilandak_Town_Square_TST01___Barang_01</vt:lpstr>
      <vt:lpstr>Diskon_OK01___Cilandak_Town_Square_TST02_upd___Test_lagi_upd</vt:lpstr>
      <vt:lpstr>Diskon_OK02___Pasar_Baru_MB01___Gulaku</vt:lpstr>
      <vt:lpstr>Diskon_OK02___Pasar_Baru_MB05___Harum_Manis</vt:lpstr>
      <vt:lpstr>Diskon_OK02___Pasar_Baru_TST01___Barang_01</vt:lpstr>
      <vt:lpstr>Diskon_OK03___Kelapa_Gading_MB01___Gulaku</vt:lpstr>
      <vt:lpstr>Diskon_OK03___Kelapa_Gading_MB02___Segitiga_Emas</vt:lpstr>
      <vt:lpstr>Diskon_OK03___Kelapa_Gading_TST01___Barang_01</vt:lpstr>
      <vt:lpstr>Diskon_OK04___Senopati_MB01___Gulaku</vt:lpstr>
      <vt:lpstr>Diskon_OK04___Senopati_TST01___Barang_01</vt:lpstr>
      <vt:lpstr>Diskon_OK04___Senopati_TST02_upd___Test_lagi_upd</vt:lpstr>
      <vt:lpstr>Diskon_OK05___Pondok_Indah_MB01___Gulaku</vt:lpstr>
      <vt:lpstr>Diskon_OK05___Pondok_Indah_TST01___Barang_01</vt:lpstr>
      <vt:lpstr>Diskon_OK05___Pondok_Indah_TST02_upd___Test_lagi_upd</vt:lpstr>
      <vt:lpstr>Diskon_OK06___Tangerang_Selatan_MB01___Gulaku</vt:lpstr>
      <vt:lpstr>Diskon_OK06___Tangerang_Selatan_MB05___Harum_Manis</vt:lpstr>
      <vt:lpstr>Diskon_OK06___Tangerang_Selatan_TST01___Barang_01</vt:lpstr>
      <vt:lpstr>Diskon_OK07___Lebak_Bulus_MB01___Gulaku</vt:lpstr>
      <vt:lpstr>Diskon_OK07___Lebak_Bulus_MB05___Harum_Manis</vt:lpstr>
      <vt:lpstr>Diskon_OK08___Ciputat_MB01___Gulaku</vt:lpstr>
      <vt:lpstr>Diskon_OK08___Ciputat_MB05___Harum_Manis</vt:lpstr>
      <vt:lpstr>Diskon_OK09___Cipedak_MB01___Gulaku</vt:lpstr>
      <vt:lpstr>Diskon_OK09___Cipedak_MB05___Harum_Manis</vt:lpstr>
      <vt:lpstr>Diskon_OK10___Kemang_MB01___Gulaku</vt:lpstr>
      <vt:lpstr>Diskon_OK11___Rasuna_Said_MB01___Gulaku</vt:lpstr>
      <vt:lpstr>Diskon_OK11___Rasuna_Said_MB02___Segitiga_Emas</vt:lpstr>
      <vt:lpstr>Sales_OK01___Cilandak_Town_Square</vt:lpstr>
      <vt:lpstr>Sales_OK02___Pasar_Baru</vt:lpstr>
      <vt:lpstr>Sales_OK03___Kelapa_Gading</vt:lpstr>
      <vt:lpstr>Sales_OK04___Senopati</vt:lpstr>
      <vt:lpstr>Sales_OK05___Pondok_Indah</vt:lpstr>
      <vt:lpstr>Sales_OK07___Lebak_Bulus</vt:lpstr>
      <vt:lpstr>Sales_OK08___Ciputat</vt:lpstr>
      <vt:lpstr>Sales_OK09___Cipedak</vt:lpstr>
      <vt:lpstr>Sales_OK10___Kemang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Firmansyah</dc:creator>
  <cp:keywords>EPPlus noncommercial use</cp:keywords>
  <dc:description>This workbook has been created with EPPlus licensed to Firmansyah under The Polyform Noncommercial License: See https://polyformproject.org/licenses/noncommercial/1.0.0</dc:description>
  <cp:lastModifiedBy>Firmansyah</cp:lastModifiedBy>
  <dcterms:created xsi:type="dcterms:W3CDTF">2025-09-24T02:30:54Z</dcterms:created>
  <dcterms:modified xsi:type="dcterms:W3CDTF">2025-09-24T04:55:43Z</dcterms:modified>
</cp:coreProperties>
</file>